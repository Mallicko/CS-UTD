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NI\Finance\FIN 3320\"/>
    </mc:Choice>
  </mc:AlternateContent>
  <xr:revisionPtr revIDLastSave="0" documentId="8_{3A03BAC5-0BC8-4F7D-A1C2-5BB9EC9246EE}" xr6:coauthVersionLast="47" xr6:coauthVersionMax="47" xr10:uidLastSave="{00000000-0000-0000-0000-000000000000}"/>
  <bookViews>
    <workbookView xWindow="7770" yWindow="0" windowWidth="15348" windowHeight="12318" xr2:uid="{931F9651-F307-4992-8193-68C2BA3060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0" i="1" l="1"/>
  <c r="C68" i="1"/>
  <c r="D68" i="1"/>
  <c r="C69" i="1"/>
  <c r="D69" i="1"/>
  <c r="D67" i="1"/>
  <c r="D66" i="1"/>
  <c r="L68" i="1"/>
  <c r="C70" i="1"/>
  <c r="C67" i="1"/>
  <c r="G70" i="1"/>
  <c r="G65" i="1" s="1"/>
  <c r="J69" i="1" s="1"/>
  <c r="C63" i="1"/>
  <c r="D60" i="1"/>
  <c r="E60" i="1"/>
  <c r="F60" i="1"/>
  <c r="C60" i="1"/>
  <c r="B46" i="1"/>
  <c r="C46" i="1"/>
  <c r="C44" i="1"/>
  <c r="B44" i="1"/>
  <c r="F27" i="1"/>
  <c r="F26" i="1"/>
  <c r="H21" i="1"/>
  <c r="C22" i="1"/>
  <c r="C23" i="1" s="1"/>
  <c r="C24" i="1" s="1"/>
  <c r="C21" i="1"/>
  <c r="C19" i="1"/>
  <c r="E2" i="1"/>
  <c r="E3" i="1"/>
  <c r="E4" i="1"/>
  <c r="E5" i="1"/>
  <c r="E6" i="1"/>
  <c r="E7" i="1"/>
  <c r="E1" i="1"/>
  <c r="H1" i="1"/>
  <c r="B47" i="1" l="1"/>
  <c r="B45" i="1"/>
  <c r="J50" i="1"/>
  <c r="C53" i="1" l="1"/>
  <c r="C51" i="1"/>
  <c r="G51" i="1" s="1"/>
  <c r="F44" i="1"/>
  <c r="I57" i="1"/>
  <c r="F45" i="1" l="1"/>
  <c r="F46" i="1"/>
  <c r="F47" i="1" s="1"/>
  <c r="D61" i="1"/>
  <c r="D58" i="1" s="1"/>
  <c r="F61" i="1"/>
  <c r="F58" i="1" s="1"/>
  <c r="E61" i="1"/>
  <c r="E58" i="1" s="1"/>
  <c r="C61" i="1"/>
  <c r="C58" i="1" s="1"/>
  <c r="D50" i="1" l="1"/>
  <c r="E53" i="1"/>
  <c r="G50" i="1"/>
  <c r="F50" i="1"/>
  <c r="F53" i="1"/>
  <c r="D53" i="1"/>
  <c r="E50" i="1"/>
  <c r="G53" i="1" l="1"/>
  <c r="C55" i="1" s="1"/>
</calcChain>
</file>

<file path=xl/sharedStrings.xml><?xml version="1.0" encoding="utf-8"?>
<sst xmlns="http://schemas.openxmlformats.org/spreadsheetml/2006/main" count="97" uniqueCount="74">
  <si>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</si>
  <si>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</si>
  <si>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</si>
  <si>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</si>
  <si>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</si>
  <si>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</si>
  <si>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</si>
  <si>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</si>
  <si>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</si>
  <si>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</si>
  <si>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</si>
  <si>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</si>
  <si>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Year0</t>
  </si>
  <si>
    <t>Year1</t>
  </si>
  <si>
    <t>Year2</t>
  </si>
  <si>
    <t>Year3</t>
  </si>
  <si>
    <t>Year4</t>
  </si>
  <si>
    <t>Year5</t>
  </si>
  <si>
    <t>Year6</t>
  </si>
  <si>
    <t>NPV</t>
  </si>
  <si>
    <t>IRR</t>
  </si>
  <si>
    <t>year0</t>
  </si>
  <si>
    <t>year1</t>
  </si>
  <si>
    <t>year2</t>
  </si>
  <si>
    <t>year3</t>
  </si>
  <si>
    <t>Fraction of Year 3</t>
  </si>
  <si>
    <t>2500/8000</t>
  </si>
  <si>
    <t>Pay Back</t>
  </si>
  <si>
    <t>Year7</t>
  </si>
  <si>
    <t>IRR_1</t>
  </si>
  <si>
    <t>IRR_2</t>
  </si>
  <si>
    <t>There are multiple IRRs because there is more than 1 sign change. Thus, there are 2 crosses on the x-axis when solvinfg for NPV = 0.</t>
  </si>
  <si>
    <t>Multiple rules are used because they highlight different aspects (value, speed of payback, rate of return), even though NPV is theoretically primary.</t>
  </si>
  <si>
    <t>Small_Kite</t>
  </si>
  <si>
    <t>Big_Kite</t>
  </si>
  <si>
    <t>Fixed Cost</t>
  </si>
  <si>
    <t>DEP</t>
  </si>
  <si>
    <t>Price</t>
  </si>
  <si>
    <t>Quant</t>
  </si>
  <si>
    <t>Revenue</t>
  </si>
  <si>
    <t>Total Sales</t>
  </si>
  <si>
    <t>Cost</t>
  </si>
  <si>
    <t>TAX</t>
  </si>
  <si>
    <t>EBIT</t>
  </si>
  <si>
    <t>Total Cost</t>
  </si>
  <si>
    <t>NET INCOME</t>
  </si>
  <si>
    <t>OCF</t>
  </si>
  <si>
    <t>Year 0</t>
  </si>
  <si>
    <t>Year 1</t>
  </si>
  <si>
    <t>Year 2</t>
  </si>
  <si>
    <t>Year 3</t>
  </si>
  <si>
    <t>Year 4</t>
  </si>
  <si>
    <t>Operating Cash Flow</t>
  </si>
  <si>
    <t>Change in NWC</t>
  </si>
  <si>
    <t>NCS</t>
  </si>
  <si>
    <t>CFFA</t>
  </si>
  <si>
    <t>Initial</t>
  </si>
  <si>
    <t>NWC</t>
  </si>
  <si>
    <t>IRR_all</t>
  </si>
  <si>
    <t>#</t>
  </si>
  <si>
    <t>MACRS</t>
  </si>
  <si>
    <t>Depreciation</t>
  </si>
  <si>
    <t>OP</t>
  </si>
  <si>
    <t>EBIT(N)</t>
  </si>
  <si>
    <t>After-Tax Sal</t>
  </si>
  <si>
    <t>q13 &amp; q14</t>
  </si>
  <si>
    <t>Cash Flow from Assets</t>
  </si>
  <si>
    <t>Sale</t>
  </si>
  <si>
    <t>Cash</t>
  </si>
  <si>
    <t>Tax</t>
  </si>
  <si>
    <t>Machine</t>
  </si>
  <si>
    <t>INV DEC</t>
  </si>
  <si>
    <t>A/R</t>
  </si>
  <si>
    <t>A/P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</si>
</sst>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8" fontId="0" fillId="0" borderId="0" xfId="0" applyNumberFormat="1"/>
    <xf numFmtId="9" fontId="0" fillId="0" borderId="0" xfId="0" applyNumberFormat="1"/>
    <xf numFmtId="8" fontId="0" fillId="2" borderId="0" xfId="0" applyNumberFormat="1" applyFill="1"/>
    <xf numFmtId="0" fontId="0" fillId="2" borderId="0" xfId="0" applyFill="1"/>
    <xf numFmtId="9" fontId="0" fillId="2" borderId="0" xfId="0" applyNumberFormat="1" applyFill="1"/>
    <xf numFmtId="44" fontId="0" fillId="0" borderId="0" xfId="1" applyFont="1"/>
    <xf numFmtId="2" fontId="0" fillId="0" borderId="0" xfId="1" applyNumberFormat="1" applyFont="1"/>
    <xf numFmtId="44" fontId="0" fillId="0" borderId="0" xfId="0" applyNumberFormat="1"/>
    <xf numFmtId="9" fontId="0" fillId="0" borderId="0" xfId="1" applyNumberFormat="1" applyFont="1"/>
    <xf numFmtId="44" fontId="0" fillId="2" borderId="0" xfId="0" applyNumberFormat="1" applyFill="1"/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44" fontId="4" fillId="0" borderId="4" xfId="0" applyNumberFormat="1" applyFont="1" applyBorder="1" applyAlignment="1">
      <alignment vertical="center" wrapText="1"/>
    </xf>
    <xf numFmtId="44" fontId="4" fillId="0" borderId="4" xfId="1" applyFont="1" applyBorder="1" applyAlignment="1">
      <alignment vertical="center" wrapText="1"/>
    </xf>
    <xf numFmtId="10" fontId="4" fillId="0" borderId="4" xfId="0" applyNumberFormat="1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44" fontId="4" fillId="0" borderId="0" xfId="1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44" fontId="4" fillId="0" borderId="6" xfId="1" applyFont="1" applyBorder="1" applyAlignment="1">
      <alignment vertical="center" wrapText="1"/>
    </xf>
    <xf numFmtId="44" fontId="0" fillId="2" borderId="0" xfId="1" applyFont="1" applyFill="1"/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44" fontId="5" fillId="0" borderId="4" xfId="1" applyFont="1" applyBorder="1" applyAlignment="1">
      <alignment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NPV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Sheet1!$D$1:$D$7</c:f>
              <c:numCache>
                <c:formatCode>0%</c:formatCode>
                <c:ptCount val="7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</c:numCache>
            </c:numRef>
          </c:xVal>
          <c:yVal>
            <c:numRef>
              <c:f>Sheet1!$E$1:$E$7</c:f>
              <c:numCache>
                <c:formatCode>"$"#,##0.00_);[Red]\("$"#,##0.00\)</c:formatCode>
                <c:ptCount val="7"/>
                <c:pt idx="0">
                  <c:v>17000</c:v>
                </c:pt>
                <c:pt idx="1">
                  <c:v>11989.030638111197</c:v>
                </c:pt>
                <c:pt idx="2">
                  <c:v>8240.2340493650845</c:v>
                </c:pt>
                <c:pt idx="3">
                  <c:v>5397.6744435439523</c:v>
                </c:pt>
                <c:pt idx="4">
                  <c:v>3217.2085762460006</c:v>
                </c:pt>
                <c:pt idx="5">
                  <c:v>1528.0639999999999</c:v>
                </c:pt>
                <c:pt idx="6">
                  <c:v>208.65273995240184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75-4D92-84AB-635638C2E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1727488"/>
        <c:axId val="1211720768"/>
      </c:scatterChart>
      <c:valAx>
        <c:axId val="1211727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720768"/>
        <c:crosses val="autoZero"/>
        <c:crossBetween val="midCat"/>
      </c:valAx>
      <c:valAx>
        <c:axId val="121172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727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177165</xdr:rowOff>
    </xdr:from>
    <xdr:to>
      <xdr:col>11</xdr:col>
      <xdr:colOff>636270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5EF59B-6BDF-667C-5A41-859FEF2203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2CBF-79DE-4487-8C1E-1038B4F546E1}">
  <dimension ref="A1:L70"/>
  <sheetViews>
    <sheetView tabSelected="1" zoomScale="74" workbookViewId="0">
      <selection activeCell="D82" sqref="D82"/>
    </sheetView>
  </sheetViews>
  <sheetFormatPr defaultRowHeight="14.4" x14ac:dyDescent="0.55000000000000004"/>
  <cols>
    <col min="2" max="2" width="11.89453125" bestFit="1" customWidth="1"/>
    <col min="3" max="3" width="11.7890625" bestFit="1" customWidth="1"/>
    <col min="4" max="4" width="13.578125" bestFit="1" customWidth="1"/>
    <col min="5" max="5" width="11.15625" customWidth="1"/>
    <col min="6" max="6" width="10.89453125" bestFit="1" customWidth="1"/>
    <col min="7" max="7" width="10.578125" bestFit="1" customWidth="1"/>
    <col min="8" max="8" width="9.3125" bestFit="1" customWidth="1"/>
    <col min="9" max="9" width="10.89453125" bestFit="1" customWidth="1"/>
    <col min="10" max="10" width="9.89453125" bestFit="1" customWidth="1"/>
  </cols>
  <sheetData>
    <row r="1" spans="1:8" x14ac:dyDescent="0.55000000000000004">
      <c r="A1" t="s">
        <v>0</v>
      </c>
      <c r="B1" s="1" t="s">
        <v>12</v>
      </c>
      <c r="C1" s="2">
        <v>-15000</v>
      </c>
      <c r="D1" s="4">
        <v>0</v>
      </c>
      <c r="E1" s="3">
        <f>NPV($D1, $C$1:$C$7)</f>
        <v>17000</v>
      </c>
      <c r="G1" t="s">
        <v>19</v>
      </c>
      <c r="H1" s="5">
        <f>NPV(0.1, C2:C7)+C1</f>
        <v>9064.257454301598</v>
      </c>
    </row>
    <row r="2" spans="1:8" x14ac:dyDescent="0.55000000000000004">
      <c r="B2" s="1" t="s">
        <v>13</v>
      </c>
      <c r="C2" s="2">
        <v>5000</v>
      </c>
      <c r="D2" s="4">
        <v>0.05</v>
      </c>
      <c r="E2" s="3">
        <f t="shared" ref="E2:E7" si="0">NPV($D2, $C$1:$C$7)</f>
        <v>11989.030638111197</v>
      </c>
    </row>
    <row r="3" spans="1:8" x14ac:dyDescent="0.55000000000000004">
      <c r="B3" s="1" t="s">
        <v>14</v>
      </c>
      <c r="C3" s="2">
        <v>7500</v>
      </c>
      <c r="D3" s="4">
        <v>0.1</v>
      </c>
      <c r="E3" s="3">
        <f t="shared" si="0"/>
        <v>8240.2340493650845</v>
      </c>
    </row>
    <row r="4" spans="1:8" x14ac:dyDescent="0.55000000000000004">
      <c r="B4" s="1" t="s">
        <v>15</v>
      </c>
      <c r="C4" s="2">
        <v>8000</v>
      </c>
      <c r="D4" s="4">
        <v>0.15</v>
      </c>
      <c r="E4" s="3">
        <f t="shared" si="0"/>
        <v>5397.6744435439523</v>
      </c>
    </row>
    <row r="5" spans="1:8" x14ac:dyDescent="0.55000000000000004">
      <c r="B5" s="1" t="s">
        <v>16</v>
      </c>
      <c r="C5" s="2">
        <v>5000</v>
      </c>
      <c r="D5" s="4">
        <v>0.2</v>
      </c>
      <c r="E5" s="3">
        <f t="shared" si="0"/>
        <v>3217.2085762460006</v>
      </c>
    </row>
    <row r="6" spans="1:8" x14ac:dyDescent="0.55000000000000004">
      <c r="B6" s="1" t="s">
        <v>17</v>
      </c>
      <c r="C6" s="2">
        <v>4000</v>
      </c>
      <c r="D6" s="4">
        <v>0.25</v>
      </c>
      <c r="E6" s="3">
        <f t="shared" si="0"/>
        <v>1528.0639999999999</v>
      </c>
    </row>
    <row r="7" spans="1:8" x14ac:dyDescent="0.55000000000000004">
      <c r="B7" s="1" t="s">
        <v>18</v>
      </c>
      <c r="C7" s="2">
        <v>2500</v>
      </c>
      <c r="D7" s="4">
        <v>0.3</v>
      </c>
      <c r="E7" s="3">
        <f t="shared" si="0"/>
        <v>208.65273995240184</v>
      </c>
    </row>
    <row r="9" spans="1:8" x14ac:dyDescent="0.55000000000000004">
      <c r="A9" t="s">
        <v>1</v>
      </c>
    </row>
    <row r="19" spans="1:8" x14ac:dyDescent="0.55000000000000004">
      <c r="A19" t="s">
        <v>2</v>
      </c>
      <c r="B19" t="s">
        <v>20</v>
      </c>
      <c r="C19" s="4">
        <f>IRR(C1:C7)</f>
        <v>0.30914413231400029</v>
      </c>
    </row>
    <row r="21" spans="1:8" x14ac:dyDescent="0.55000000000000004">
      <c r="A21" t="s">
        <v>3</v>
      </c>
      <c r="B21" t="s">
        <v>21</v>
      </c>
      <c r="C21">
        <f>C1</f>
        <v>-15000</v>
      </c>
      <c r="E21" t="s">
        <v>25</v>
      </c>
      <c r="G21" t="s">
        <v>26</v>
      </c>
      <c r="H21">
        <f>2500/8000</f>
        <v>0.3125</v>
      </c>
    </row>
    <row r="22" spans="1:8" x14ac:dyDescent="0.55000000000000004">
      <c r="B22" t="s">
        <v>22</v>
      </c>
      <c r="C22">
        <f>C1+C2</f>
        <v>-10000</v>
      </c>
    </row>
    <row r="23" spans="1:8" x14ac:dyDescent="0.55000000000000004">
      <c r="B23" t="s">
        <v>23</v>
      </c>
      <c r="C23">
        <f>C22+C3</f>
        <v>-2500</v>
      </c>
      <c r="E23" t="s">
        <v>27</v>
      </c>
      <c r="F23" s="6">
        <v>2.3125</v>
      </c>
    </row>
    <row r="24" spans="1:8" x14ac:dyDescent="0.55000000000000004">
      <c r="B24" t="s">
        <v>24</v>
      </c>
      <c r="C24">
        <f>C23+C4</f>
        <v>5500</v>
      </c>
    </row>
    <row r="26" spans="1:8" x14ac:dyDescent="0.55000000000000004">
      <c r="A26" t="s">
        <v>4</v>
      </c>
      <c r="B26" s="1" t="s">
        <v>12</v>
      </c>
      <c r="C26" s="2">
        <v>-10000</v>
      </c>
      <c r="E26" t="s">
        <v>29</v>
      </c>
      <c r="F26" s="7">
        <f>IRR(C26:C33)</f>
        <v>5.4613231006244378E-2</v>
      </c>
    </row>
    <row r="27" spans="1:8" x14ac:dyDescent="0.55000000000000004">
      <c r="B27" s="1" t="s">
        <v>13</v>
      </c>
      <c r="C27" s="2">
        <v>5000</v>
      </c>
      <c r="E27" t="s">
        <v>30</v>
      </c>
      <c r="F27" s="7">
        <f>IRR(C26:C33, 0.5)</f>
        <v>0.4312186279524366</v>
      </c>
    </row>
    <row r="28" spans="1:8" x14ac:dyDescent="0.55000000000000004">
      <c r="B28" s="1" t="s">
        <v>14</v>
      </c>
      <c r="C28" s="2">
        <v>7500</v>
      </c>
    </row>
    <row r="29" spans="1:8" x14ac:dyDescent="0.55000000000000004">
      <c r="B29" s="1" t="s">
        <v>15</v>
      </c>
      <c r="C29" s="2">
        <v>8000</v>
      </c>
    </row>
    <row r="30" spans="1:8" x14ac:dyDescent="0.55000000000000004">
      <c r="B30" s="1" t="s">
        <v>16</v>
      </c>
      <c r="C30" s="2">
        <v>5000</v>
      </c>
    </row>
    <row r="31" spans="1:8" x14ac:dyDescent="0.55000000000000004">
      <c r="B31" s="1" t="s">
        <v>17</v>
      </c>
      <c r="C31" s="2">
        <v>4000</v>
      </c>
    </row>
    <row r="32" spans="1:8" x14ac:dyDescent="0.55000000000000004">
      <c r="B32" s="1" t="s">
        <v>18</v>
      </c>
      <c r="C32" s="2">
        <v>2500</v>
      </c>
    </row>
    <row r="33" spans="1:6" x14ac:dyDescent="0.55000000000000004">
      <c r="B33" s="1" t="s">
        <v>28</v>
      </c>
      <c r="C33" s="2">
        <v>-25000</v>
      </c>
    </row>
    <row r="35" spans="1:6" x14ac:dyDescent="0.55000000000000004">
      <c r="A35" t="s">
        <v>5</v>
      </c>
      <c r="B35" s="1" t="s">
        <v>31</v>
      </c>
    </row>
    <row r="37" spans="1:6" x14ac:dyDescent="0.55000000000000004">
      <c r="A37" t="s">
        <v>6</v>
      </c>
      <c r="B37" s="1" t="s">
        <v>32</v>
      </c>
    </row>
    <row r="39" spans="1:6" x14ac:dyDescent="0.55000000000000004">
      <c r="A39" t="s">
        <v>7</v>
      </c>
      <c r="B39" s="8" t="s">
        <v>33</v>
      </c>
      <c r="C39" s="8" t="s">
        <v>34</v>
      </c>
      <c r="D39" s="8"/>
      <c r="E39" s="8" t="s">
        <v>35</v>
      </c>
      <c r="F39" s="8">
        <v>2120</v>
      </c>
    </row>
    <row r="40" spans="1:6" x14ac:dyDescent="0.55000000000000004">
      <c r="A40" t="s">
        <v>37</v>
      </c>
      <c r="B40" s="8">
        <v>13</v>
      </c>
      <c r="C40" s="8">
        <v>26</v>
      </c>
      <c r="D40" s="8"/>
      <c r="E40" s="8" t="s">
        <v>36</v>
      </c>
      <c r="F40" s="8">
        <v>20000</v>
      </c>
    </row>
    <row r="41" spans="1:6" x14ac:dyDescent="0.55000000000000004">
      <c r="B41" s="8">
        <v>6.25</v>
      </c>
      <c r="C41" s="8">
        <v>13.5</v>
      </c>
      <c r="D41" s="8"/>
      <c r="E41" s="8" t="s">
        <v>42</v>
      </c>
      <c r="F41" s="11">
        <v>0.35</v>
      </c>
    </row>
    <row r="42" spans="1:6" x14ac:dyDescent="0.55000000000000004">
      <c r="A42" t="s">
        <v>38</v>
      </c>
      <c r="B42" s="9">
        <v>3800</v>
      </c>
      <c r="C42" s="9">
        <v>2060</v>
      </c>
      <c r="D42" s="8"/>
      <c r="E42" s="8"/>
      <c r="F42" s="8"/>
    </row>
    <row r="43" spans="1:6" x14ac:dyDescent="0.55000000000000004">
      <c r="B43" s="8"/>
      <c r="C43" s="8"/>
      <c r="D43" s="8"/>
      <c r="E43" s="8"/>
      <c r="F43" s="8"/>
    </row>
    <row r="44" spans="1:6" x14ac:dyDescent="0.55000000000000004">
      <c r="A44" t="s">
        <v>39</v>
      </c>
      <c r="B44" s="8">
        <f>B40*B42</f>
        <v>49400</v>
      </c>
      <c r="C44" s="8">
        <f>C40*C42</f>
        <v>53560</v>
      </c>
      <c r="D44" s="8"/>
      <c r="E44" s="8" t="s">
        <v>43</v>
      </c>
      <c r="F44" s="8">
        <f>B45-B47-F39-F40</f>
        <v>29280</v>
      </c>
    </row>
    <row r="45" spans="1:6" x14ac:dyDescent="0.55000000000000004">
      <c r="A45" t="s">
        <v>40</v>
      </c>
      <c r="B45" s="10">
        <f>B44+C44</f>
        <v>102960</v>
      </c>
      <c r="E45" s="8" t="s">
        <v>42</v>
      </c>
      <c r="F45" s="10">
        <f>F44*F41</f>
        <v>10248</v>
      </c>
    </row>
    <row r="46" spans="1:6" x14ac:dyDescent="0.55000000000000004">
      <c r="A46" t="s">
        <v>41</v>
      </c>
      <c r="B46" s="10">
        <f>B41*B42</f>
        <v>23750</v>
      </c>
      <c r="C46" s="10">
        <f>C41*C42</f>
        <v>27810</v>
      </c>
      <c r="E46" s="8" t="s">
        <v>45</v>
      </c>
      <c r="F46" s="10">
        <f>F44-F45</f>
        <v>19032</v>
      </c>
    </row>
    <row r="47" spans="1:6" x14ac:dyDescent="0.55000000000000004">
      <c r="A47" t="s">
        <v>44</v>
      </c>
      <c r="B47" s="10">
        <f>B46+C46</f>
        <v>51560</v>
      </c>
      <c r="E47" s="8" t="s">
        <v>46</v>
      </c>
      <c r="F47" s="12">
        <f>F46+F40</f>
        <v>39032</v>
      </c>
    </row>
    <row r="48" spans="1:6" ht="14.7" thickBot="1" x14ac:dyDescent="0.6"/>
    <row r="49" spans="1:10" ht="14.7" thickBot="1" x14ac:dyDescent="0.6">
      <c r="A49" t="s">
        <v>8</v>
      </c>
      <c r="B49" s="13"/>
      <c r="C49" s="14" t="s">
        <v>47</v>
      </c>
      <c r="D49" s="14" t="s">
        <v>48</v>
      </c>
      <c r="E49" s="14" t="s">
        <v>49</v>
      </c>
      <c r="F49" s="14" t="s">
        <v>50</v>
      </c>
      <c r="G49" s="14" t="s">
        <v>51</v>
      </c>
      <c r="I49" s="16" t="s">
        <v>56</v>
      </c>
      <c r="J49">
        <v>80000</v>
      </c>
    </row>
    <row r="50" spans="1:10" ht="28.5" thickBot="1" x14ac:dyDescent="0.6">
      <c r="B50" s="15" t="s">
        <v>52</v>
      </c>
      <c r="C50" s="18">
        <v>0</v>
      </c>
      <c r="D50" s="18">
        <f t="shared" ref="D50:G50" si="1">$F$47</f>
        <v>39032</v>
      </c>
      <c r="E50" s="18">
        <f t="shared" si="1"/>
        <v>39032</v>
      </c>
      <c r="F50" s="18">
        <f t="shared" si="1"/>
        <v>39032</v>
      </c>
      <c r="G50" s="18">
        <f t="shared" si="1"/>
        <v>39032</v>
      </c>
      <c r="I50" t="s">
        <v>57</v>
      </c>
      <c r="J50" s="8">
        <f>B45*0.05</f>
        <v>5148</v>
      </c>
    </row>
    <row r="51" spans="1:10" ht="28.5" thickBot="1" x14ac:dyDescent="0.6">
      <c r="B51" s="15" t="s">
        <v>53</v>
      </c>
      <c r="C51" s="18">
        <f>+J50</f>
        <v>5148</v>
      </c>
      <c r="D51" s="18">
        <v>0</v>
      </c>
      <c r="E51" s="18">
        <v>0</v>
      </c>
      <c r="F51" s="18">
        <v>0</v>
      </c>
      <c r="G51" s="18">
        <f>-C51</f>
        <v>-5148</v>
      </c>
    </row>
    <row r="52" spans="1:10" ht="14.7" thickBot="1" x14ac:dyDescent="0.6">
      <c r="B52" s="15" t="s">
        <v>54</v>
      </c>
      <c r="C52" s="18">
        <v>80000</v>
      </c>
      <c r="D52" s="18">
        <v>0</v>
      </c>
      <c r="E52" s="18">
        <v>0</v>
      </c>
      <c r="F52" s="18">
        <v>0</v>
      </c>
      <c r="G52" s="18">
        <v>0</v>
      </c>
    </row>
    <row r="53" spans="1:10" ht="14.7" thickBot="1" x14ac:dyDescent="0.6">
      <c r="B53" s="15" t="s">
        <v>55</v>
      </c>
      <c r="C53" s="18">
        <f>-J49-J50</f>
        <v>-85148</v>
      </c>
      <c r="D53" s="18">
        <f>$F$47</f>
        <v>39032</v>
      </c>
      <c r="E53" s="18">
        <f t="shared" ref="E53:F53" si="2">$F$47</f>
        <v>39032</v>
      </c>
      <c r="F53" s="18">
        <f t="shared" si="2"/>
        <v>39032</v>
      </c>
      <c r="G53" s="18">
        <f>D53+J50</f>
        <v>44180</v>
      </c>
    </row>
    <row r="55" spans="1:10" x14ac:dyDescent="0.55000000000000004">
      <c r="A55" t="s">
        <v>9</v>
      </c>
      <c r="B55" s="16" t="s">
        <v>58</v>
      </c>
      <c r="C55" s="7">
        <f>IRR(C53:G53)</f>
        <v>0.30829833422999231</v>
      </c>
    </row>
    <row r="56" spans="1:10" ht="14.7" thickBot="1" x14ac:dyDescent="0.6"/>
    <row r="57" spans="1:10" ht="14.7" thickBot="1" x14ac:dyDescent="0.6">
      <c r="A57" t="s">
        <v>10</v>
      </c>
      <c r="B57" s="13" t="s">
        <v>59</v>
      </c>
      <c r="C57" s="14" t="s">
        <v>48</v>
      </c>
      <c r="D57" s="14" t="s">
        <v>49</v>
      </c>
      <c r="E57" s="14" t="s">
        <v>50</v>
      </c>
      <c r="F57" s="14" t="s">
        <v>51</v>
      </c>
      <c r="H57" s="16" t="s">
        <v>62</v>
      </c>
      <c r="I57" s="10">
        <f>B45-B47-F39</f>
        <v>49280</v>
      </c>
    </row>
    <row r="58" spans="1:10" ht="28.5" thickBot="1" x14ac:dyDescent="0.6">
      <c r="B58" s="15" t="s">
        <v>52</v>
      </c>
      <c r="C58" s="17">
        <f>C61*(1-0.35)+C60</f>
        <v>41364.400000000001</v>
      </c>
      <c r="D58" s="17">
        <f t="shared" ref="D58:F58" si="3">D61*(1-0.35)+D60</f>
        <v>44478</v>
      </c>
      <c r="E58" s="17">
        <f t="shared" si="3"/>
        <v>36178.800000000003</v>
      </c>
      <c r="F58" s="17">
        <f t="shared" si="3"/>
        <v>34106.800000000003</v>
      </c>
    </row>
    <row r="59" spans="1:10" ht="14.7" thickBot="1" x14ac:dyDescent="0.6">
      <c r="B59" s="15" t="s">
        <v>60</v>
      </c>
      <c r="C59" s="19">
        <v>0.33329999999999999</v>
      </c>
      <c r="D59" s="19">
        <v>0.44450000000000001</v>
      </c>
      <c r="E59" s="19">
        <v>0.14810000000000001</v>
      </c>
      <c r="F59" s="19">
        <v>7.4099999999999999E-2</v>
      </c>
    </row>
    <row r="60" spans="1:10" ht="14.7" thickBot="1" x14ac:dyDescent="0.6">
      <c r="B60" s="15" t="s">
        <v>61</v>
      </c>
      <c r="C60" s="18">
        <f>$J$49*C59</f>
        <v>26664</v>
      </c>
      <c r="D60" s="18">
        <f t="shared" ref="D60:F60" si="4">$J$49*D59</f>
        <v>35560</v>
      </c>
      <c r="E60" s="18">
        <f t="shared" si="4"/>
        <v>11848</v>
      </c>
      <c r="F60" s="18">
        <f t="shared" si="4"/>
        <v>5928</v>
      </c>
    </row>
    <row r="61" spans="1:10" x14ac:dyDescent="0.55000000000000004">
      <c r="B61" s="22" t="s">
        <v>63</v>
      </c>
      <c r="C61" s="23">
        <f>$I$57-C60</f>
        <v>22616</v>
      </c>
      <c r="D61" s="23">
        <f t="shared" ref="D61:F61" si="5">$I$57-D60</f>
        <v>13720</v>
      </c>
      <c r="E61" s="23">
        <f t="shared" si="5"/>
        <v>37432</v>
      </c>
      <c r="F61" s="23">
        <f t="shared" si="5"/>
        <v>43352</v>
      </c>
    </row>
    <row r="62" spans="1:10" x14ac:dyDescent="0.55000000000000004">
      <c r="B62" s="20"/>
      <c r="C62" s="21"/>
      <c r="D62" s="21"/>
      <c r="E62" s="21"/>
      <c r="F62" s="21"/>
    </row>
    <row r="63" spans="1:10" x14ac:dyDescent="0.55000000000000004">
      <c r="A63" t="s">
        <v>11</v>
      </c>
      <c r="B63" s="16" t="s">
        <v>64</v>
      </c>
      <c r="C63" s="24">
        <f>15000*(1-0.35)</f>
        <v>9750</v>
      </c>
    </row>
    <row r="64" spans="1:10" ht="14.7" thickBot="1" x14ac:dyDescent="0.6"/>
    <row r="65" spans="1:12" ht="46.2" thickBot="1" x14ac:dyDescent="0.6">
      <c r="A65" t="s">
        <v>65</v>
      </c>
      <c r="B65" s="25"/>
      <c r="C65" s="26" t="s">
        <v>52</v>
      </c>
      <c r="D65" s="26" t="s">
        <v>66</v>
      </c>
      <c r="F65" s="28" t="s">
        <v>43</v>
      </c>
      <c r="G65">
        <f>G66-G67-G70</f>
        <v>5250</v>
      </c>
      <c r="K65" t="s">
        <v>71</v>
      </c>
      <c r="L65">
        <v>8700</v>
      </c>
    </row>
    <row r="66" spans="1:12" ht="15.6" thickBot="1" x14ac:dyDescent="0.6">
      <c r="B66" s="27" t="s">
        <v>47</v>
      </c>
      <c r="C66" s="29">
        <v>0</v>
      </c>
      <c r="D66" s="29">
        <f>-L68-G69</f>
        <v>-325000</v>
      </c>
      <c r="F66" t="s">
        <v>67</v>
      </c>
      <c r="G66">
        <v>210000</v>
      </c>
      <c r="K66" t="s">
        <v>72</v>
      </c>
      <c r="L66">
        <v>9500</v>
      </c>
    </row>
    <row r="67" spans="1:12" ht="15.6" thickBot="1" x14ac:dyDescent="0.6">
      <c r="B67" s="27" t="s">
        <v>48</v>
      </c>
      <c r="C67" s="29">
        <f>$J$69+$G$70</f>
        <v>83897.5</v>
      </c>
      <c r="D67" s="29">
        <f>$J$69+$G$70</f>
        <v>83897.5</v>
      </c>
      <c r="F67" t="s">
        <v>68</v>
      </c>
      <c r="G67">
        <v>125000</v>
      </c>
      <c r="K67" t="s">
        <v>73</v>
      </c>
      <c r="L67">
        <v>5200</v>
      </c>
    </row>
    <row r="68" spans="1:12" ht="15.6" thickBot="1" x14ac:dyDescent="0.6">
      <c r="B68" s="27" t="s">
        <v>49</v>
      </c>
      <c r="C68" s="29">
        <f t="shared" ref="C68:D69" si="6">$J$69+$G$70</f>
        <v>83897.5</v>
      </c>
      <c r="D68" s="29">
        <f t="shared" si="6"/>
        <v>83897.5</v>
      </c>
      <c r="F68" t="s">
        <v>69</v>
      </c>
      <c r="G68" s="4">
        <v>0.21</v>
      </c>
      <c r="K68" t="s">
        <v>57</v>
      </c>
      <c r="L68">
        <f>-L65+L66+L67</f>
        <v>6000</v>
      </c>
    </row>
    <row r="69" spans="1:12" ht="15.6" thickBot="1" x14ac:dyDescent="0.6">
      <c r="B69" s="27" t="s">
        <v>50</v>
      </c>
      <c r="C69" s="29">
        <f t="shared" si="6"/>
        <v>83897.5</v>
      </c>
      <c r="D69" s="29">
        <f t="shared" si="6"/>
        <v>83897.5</v>
      </c>
      <c r="F69" t="s">
        <v>70</v>
      </c>
      <c r="G69">
        <v>319000</v>
      </c>
      <c r="I69" t="s">
        <v>45</v>
      </c>
      <c r="J69">
        <f>G65*(1-G68)</f>
        <v>4147.5</v>
      </c>
    </row>
    <row r="70" spans="1:12" ht="15.6" thickBot="1" x14ac:dyDescent="0.6">
      <c r="B70" s="27" t="s">
        <v>51</v>
      </c>
      <c r="C70" s="29">
        <f t="shared" ref="C68:C70" si="7">$J$69+$G$70</f>
        <v>83897.5</v>
      </c>
      <c r="D70" s="29">
        <f>D67+L68+51600</f>
        <v>141497.5</v>
      </c>
      <c r="F70" t="s">
        <v>36</v>
      </c>
      <c r="G70">
        <f>G69/4</f>
        <v>79750</v>
      </c>
    </row>
  </sheetData>
  <phoneticPr fontId="3" type="noConversion"/>
  <pageMargins left="0.7" right="0.7" top="0.75" bottom="0.75" header="0.3" footer="0.3"/>
  <ignoredErrors>
    <ignoredError sqref="B46 C61:F61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Swastik Mallick</dc:creator>
  <cp:lastModifiedBy>Swastik Mallick</cp:lastModifiedBy>
  <dcterms:created xsi:type="dcterms:W3CDTF">2025-11-20T23:42:13Z</dcterms:created>
  <dcterms:modified xsi:type="dcterms:W3CDTF">2025-11-21T01:57:16Z</dcterms:modified>
</cp:coreProperties>
</file>